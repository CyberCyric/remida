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activeTab="6"/>
  </bookViews>
  <sheets>
    <sheet name="plastico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agosto18" sheetId="7" r:id="rId7"/>
  </sheets>
  <calcPr calcId="152511"/>
</workbook>
</file>

<file path=xl/calcChain.xml><?xml version="1.0" encoding="utf-8"?>
<calcChain xmlns="http://schemas.openxmlformats.org/spreadsheetml/2006/main">
  <c r="H6" i="4" l="1"/>
  <c r="H5" i="2"/>
  <c r="H4" i="2"/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5" i="4"/>
  <c r="H4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25" i="3" l="1"/>
  <c r="H25" i="5"/>
  <c r="H25" i="6"/>
  <c r="C8" i="7" s="1"/>
  <c r="H25" i="4"/>
  <c r="C6" i="7" s="1"/>
  <c r="H25" i="2"/>
  <c r="C7" i="7"/>
  <c r="C5" i="7"/>
  <c r="C4" i="7"/>
  <c r="H25" i="1"/>
  <c r="C3" i="7" s="1"/>
  <c r="F25" i="1"/>
  <c r="G25" i="1"/>
  <c r="E25" i="1"/>
</calcChain>
</file>

<file path=xl/sharedStrings.xml><?xml version="1.0" encoding="utf-8"?>
<sst xmlns="http://schemas.openxmlformats.org/spreadsheetml/2006/main" count="110" uniqueCount="37">
  <si>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</si>
  <si>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</si>
  <si>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</si>
  <si>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</si>
  <si>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</si>
  <si>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</si>
  <si>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</si>
  <si>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</si>
  <si>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</si>
  <si>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</si>
  <si>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</si>
  <si>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</si>
  <si>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</si>
  <si>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</si>
  <si>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</si>
  <si>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</si>
  <si>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</si>
  <si>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</si>
  <si>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placas radiográficas</t>
  </si>
  <si>
    <t>recorte de telgopor</t>
  </si>
  <si>
    <t>Grincraft</t>
  </si>
  <si>
    <t>cables finos</t>
  </si>
  <si>
    <t>23/082018</t>
  </si>
  <si>
    <t>Totoras</t>
  </si>
  <si>
    <t>Mensual agosto 2018</t>
  </si>
  <si>
    <t>Total</t>
  </si>
  <si>
    <t>Chapadur</t>
  </si>
  <si>
    <t>recorte mdf</t>
  </si>
  <si>
    <t>X</t>
  </si>
  <si>
    <t>T-Plack</t>
  </si>
  <si>
    <t>NO DECLARADO</t>
  </si>
  <si>
    <t>PEQUEÑA EMPRESA</t>
  </si>
  <si>
    <t>ARTICEN</t>
  </si>
  <si>
    <t>SEDAMIL</t>
  </si>
  <si>
    <t>PLACAS TETRAPACK</t>
  </si>
  <si>
    <t>DESCARTE DE CARTON</t>
  </si>
  <si>
    <t>CINTAS PLASTICAS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</si>
</sst>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9" sqref="A9"/>
    </sheetView>
  </sheetViews>
  <sheetFormatPr baseColWidth="10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1" t="s">
        <v>4</v>
      </c>
      <c r="F1" s="21"/>
      <c r="G1" s="21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ht="18.75" customHeight="1" x14ac:dyDescent="0.25">
      <c r="A4" s="19">
        <v>43314</v>
      </c>
      <c r="B4" s="14" t="s">
        <v>30</v>
      </c>
      <c r="C4" s="14" t="s">
        <v>17</v>
      </c>
      <c r="D4" s="14" t="s">
        <v>18</v>
      </c>
      <c r="E4" s="16"/>
      <c r="F4" s="16">
        <v>4</v>
      </c>
      <c r="G4" s="16"/>
      <c r="H4" s="16">
        <f>E4+F4+G4</f>
        <v>4</v>
      </c>
    </row>
    <row r="5" spans="1:8" ht="18.75" customHeight="1" x14ac:dyDescent="0.25">
      <c r="A5" s="19">
        <v>43314</v>
      </c>
      <c r="B5" s="14" t="s">
        <v>30</v>
      </c>
      <c r="C5" s="14" t="s">
        <v>17</v>
      </c>
      <c r="D5" s="14" t="s">
        <v>19</v>
      </c>
      <c r="E5" s="16"/>
      <c r="F5" s="16">
        <v>0.25</v>
      </c>
      <c r="G5" s="16"/>
      <c r="H5" s="16">
        <f t="shared" ref="H5:H23" si="0">E5+F5+G5</f>
        <v>0.25</v>
      </c>
    </row>
    <row r="6" spans="1:8" ht="18.75" customHeight="1" x14ac:dyDescent="0.25">
      <c r="A6" s="19"/>
      <c r="B6" s="14"/>
      <c r="C6" s="14"/>
      <c r="D6" s="14"/>
      <c r="E6" s="16"/>
      <c r="F6" s="16"/>
      <c r="G6" s="16"/>
      <c r="H6" s="16">
        <f t="shared" si="0"/>
        <v>0</v>
      </c>
    </row>
    <row r="7" spans="1:8" ht="18.75" customHeight="1" x14ac:dyDescent="0.25">
      <c r="A7" s="19">
        <v>43335</v>
      </c>
      <c r="B7" s="14" t="s">
        <v>30</v>
      </c>
      <c r="C7" s="14" t="s">
        <v>17</v>
      </c>
      <c r="D7" s="14" t="s">
        <v>21</v>
      </c>
      <c r="E7" s="16"/>
      <c r="F7" s="16">
        <v>0.5</v>
      </c>
      <c r="G7" s="16"/>
      <c r="H7" s="16">
        <f t="shared" si="0"/>
        <v>0.5</v>
      </c>
    </row>
    <row r="8" spans="1:8" ht="18.75" customHeight="1" x14ac:dyDescent="0.25">
      <c r="A8" s="19">
        <v>43335</v>
      </c>
      <c r="B8" s="14" t="s">
        <v>30</v>
      </c>
      <c r="C8" s="14"/>
      <c r="D8" s="14" t="s">
        <v>36</v>
      </c>
      <c r="E8" s="16"/>
      <c r="F8" s="16"/>
      <c r="G8" s="16"/>
      <c r="H8" s="16">
        <v>3</v>
      </c>
    </row>
    <row r="9" spans="1:8" ht="18.75" customHeight="1" x14ac:dyDescent="0.25">
      <c r="A9" s="14"/>
      <c r="B9" s="14"/>
      <c r="C9" s="14"/>
      <c r="D9" s="14"/>
      <c r="E9" s="16"/>
      <c r="F9" s="16"/>
      <c r="G9" s="16"/>
      <c r="H9" s="16">
        <f t="shared" si="0"/>
        <v>0</v>
      </c>
    </row>
    <row r="10" spans="1:8" ht="18.75" customHeight="1" x14ac:dyDescent="0.25">
      <c r="A10" s="14"/>
      <c r="B10" s="14"/>
      <c r="C10" s="14"/>
      <c r="D10" s="14"/>
      <c r="E10" s="16"/>
      <c r="F10" s="16"/>
      <c r="G10" s="16"/>
      <c r="H10" s="16">
        <f t="shared" si="0"/>
        <v>0</v>
      </c>
    </row>
    <row r="11" spans="1:8" ht="18.75" customHeight="1" x14ac:dyDescent="0.25">
      <c r="A11" s="14"/>
      <c r="B11" s="14"/>
      <c r="C11" s="14"/>
      <c r="D11" s="14"/>
      <c r="E11" s="16"/>
      <c r="F11" s="16"/>
      <c r="G11" s="16"/>
      <c r="H11" s="16">
        <f t="shared" si="0"/>
        <v>0</v>
      </c>
    </row>
    <row r="12" spans="1:8" ht="18.75" customHeight="1" x14ac:dyDescent="0.25">
      <c r="A12" s="14"/>
      <c r="B12" s="14"/>
      <c r="C12" s="14"/>
      <c r="D12" s="14"/>
      <c r="E12" s="16"/>
      <c r="F12" s="16"/>
      <c r="G12" s="16"/>
      <c r="H12" s="16">
        <f t="shared" si="0"/>
        <v>0</v>
      </c>
    </row>
    <row r="13" spans="1:8" ht="18.75" customHeight="1" x14ac:dyDescent="0.25">
      <c r="A13" s="14"/>
      <c r="B13" s="14"/>
      <c r="C13" s="14"/>
      <c r="D13" s="14"/>
      <c r="E13" s="16"/>
      <c r="F13" s="16"/>
      <c r="G13" s="16"/>
      <c r="H13" s="16">
        <f t="shared" si="0"/>
        <v>0</v>
      </c>
    </row>
    <row r="14" spans="1:8" ht="18.75" customHeight="1" x14ac:dyDescent="0.25">
      <c r="A14" s="14"/>
      <c r="B14" s="14"/>
      <c r="C14" s="14"/>
      <c r="D14" s="14"/>
      <c r="E14" s="16"/>
      <c r="F14" s="16"/>
      <c r="G14" s="16"/>
      <c r="H14" s="16">
        <f t="shared" si="0"/>
        <v>0</v>
      </c>
    </row>
    <row r="15" spans="1:8" ht="18.75" customHeight="1" x14ac:dyDescent="0.25">
      <c r="A15" s="14"/>
      <c r="B15" s="14"/>
      <c r="C15" s="14"/>
      <c r="D15" s="14"/>
      <c r="E15" s="16"/>
      <c r="F15" s="16"/>
      <c r="G15" s="16"/>
      <c r="H15" s="16">
        <f t="shared" si="0"/>
        <v>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5" spans="1:8" ht="18.75" customHeight="1" x14ac:dyDescent="0.25">
      <c r="D25" s="13" t="s">
        <v>9</v>
      </c>
      <c r="E25" s="16">
        <f>SUM(E4:E24)</f>
        <v>0</v>
      </c>
      <c r="F25" s="16">
        <f t="shared" ref="F25:H25" si="1">SUM(F4:F24)</f>
        <v>4.75</v>
      </c>
      <c r="G25" s="16">
        <f t="shared" si="1"/>
        <v>0</v>
      </c>
      <c r="H25" s="16">
        <f t="shared" si="1"/>
        <v>7.75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5" sqref="F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43314</v>
      </c>
      <c r="B4" s="2" t="s">
        <v>32</v>
      </c>
      <c r="C4" s="14" t="s">
        <v>28</v>
      </c>
      <c r="D4" s="2" t="s">
        <v>26</v>
      </c>
      <c r="E4" s="20"/>
      <c r="F4" s="20">
        <v>100</v>
      </c>
      <c r="G4" s="20"/>
      <c r="H4" s="20">
        <f t="shared" ref="H4:H5" si="0">E4+F4+G4</f>
        <v>100</v>
      </c>
    </row>
    <row r="5" spans="1:8" ht="18.75" customHeight="1" x14ac:dyDescent="0.25">
      <c r="A5" s="6">
        <v>43314</v>
      </c>
      <c r="B5" s="2" t="s">
        <v>31</v>
      </c>
      <c r="C5" s="14" t="s">
        <v>28</v>
      </c>
      <c r="D5" s="2" t="s">
        <v>27</v>
      </c>
      <c r="E5" s="20"/>
      <c r="F5" s="20">
        <v>30</v>
      </c>
      <c r="G5" s="20"/>
      <c r="H5" s="20">
        <f t="shared" si="0"/>
        <v>30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ref="H6:H23" si="1">E6+F6+G6</f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1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1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1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1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1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1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1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1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1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1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1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2">SUM(F4:F24)</f>
        <v>130</v>
      </c>
      <c r="G25" s="8">
        <f t="shared" si="2"/>
        <v>0</v>
      </c>
      <c r="H25" s="8">
        <f t="shared" si="2"/>
        <v>130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5" sqref="F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43314</v>
      </c>
      <c r="B4" s="2" t="s">
        <v>20</v>
      </c>
      <c r="C4" s="14" t="s">
        <v>17</v>
      </c>
      <c r="D4" s="2" t="s">
        <v>35</v>
      </c>
      <c r="E4" s="8"/>
      <c r="F4" s="8">
        <v>50</v>
      </c>
      <c r="G4" s="8"/>
      <c r="H4" s="8">
        <f>E4+F4+G4</f>
        <v>50</v>
      </c>
    </row>
    <row r="5" spans="1:8" ht="18.75" customHeight="1" x14ac:dyDescent="0.25">
      <c r="A5" s="2" t="s">
        <v>22</v>
      </c>
      <c r="B5" s="2" t="s">
        <v>20</v>
      </c>
      <c r="C5" s="14" t="s">
        <v>17</v>
      </c>
      <c r="D5" s="2" t="s">
        <v>35</v>
      </c>
      <c r="E5" s="8"/>
      <c r="F5" s="8">
        <v>12.5</v>
      </c>
      <c r="G5" s="8"/>
      <c r="H5" s="8">
        <f t="shared" ref="H5:H23" si="0">E5+F5+G5</f>
        <v>12.5</v>
      </c>
    </row>
    <row r="6" spans="1:8" ht="18.75" customHeight="1" x14ac:dyDescent="0.25">
      <c r="A6" s="6">
        <v>43335</v>
      </c>
      <c r="B6" s="2" t="s">
        <v>29</v>
      </c>
      <c r="C6" s="14" t="s">
        <v>17</v>
      </c>
      <c r="D6" s="2" t="s">
        <v>34</v>
      </c>
      <c r="E6" s="20"/>
      <c r="F6" s="20">
        <v>70</v>
      </c>
      <c r="G6" s="20"/>
      <c r="H6" s="20">
        <f>E6+F6+G6</f>
        <v>70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132.5</v>
      </c>
      <c r="G25" s="8">
        <f t="shared" si="1"/>
        <v>0</v>
      </c>
      <c r="H25" s="8">
        <f t="shared" si="1"/>
        <v>132.5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43335</v>
      </c>
      <c r="B4" s="2" t="s">
        <v>33</v>
      </c>
      <c r="C4" s="14" t="s">
        <v>17</v>
      </c>
      <c r="D4" s="2" t="s">
        <v>23</v>
      </c>
      <c r="E4" s="8">
        <v>30</v>
      </c>
      <c r="F4" s="8"/>
      <c r="G4" s="8"/>
      <c r="H4" s="8">
        <f>E4+F4+G4</f>
        <v>30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30</v>
      </c>
      <c r="F25" s="8">
        <f t="shared" ref="F25:H25" si="1">SUM(F4:F24)</f>
        <v>0</v>
      </c>
      <c r="G25" s="8">
        <f t="shared" si="1"/>
        <v>0</v>
      </c>
      <c r="H25" s="8">
        <f t="shared" si="1"/>
        <v>30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8" sqref="C18"/>
    </sheetView>
  </sheetViews>
  <sheetFormatPr baseColWidth="10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24</v>
      </c>
      <c r="C1" s="18" t="s">
        <v>25</v>
      </c>
    </row>
    <row r="3" spans="1:3" x14ac:dyDescent="0.25">
      <c r="A3" s="1" t="s">
        <v>10</v>
      </c>
      <c r="B3" s="13" t="s">
        <v>11</v>
      </c>
      <c r="C3" s="18">
        <f>plastico!H25</f>
        <v>7.75</v>
      </c>
    </row>
    <row r="4" spans="1:3" x14ac:dyDescent="0.25">
      <c r="A4" s="1" t="s">
        <v>10</v>
      </c>
      <c r="B4" s="13" t="s">
        <v>12</v>
      </c>
      <c r="C4" s="18">
        <f>maderas!H25</f>
        <v>130</v>
      </c>
    </row>
    <row r="5" spans="1:3" x14ac:dyDescent="0.25">
      <c r="A5" s="1" t="s">
        <v>10</v>
      </c>
      <c r="B5" s="13" t="s">
        <v>13</v>
      </c>
      <c r="C5" s="18">
        <f>metal!H25</f>
        <v>0</v>
      </c>
    </row>
    <row r="6" spans="1:3" x14ac:dyDescent="0.25">
      <c r="A6" s="1" t="s">
        <v>10</v>
      </c>
      <c r="B6" s="13" t="s">
        <v>14</v>
      </c>
      <c r="C6" s="18">
        <f>papelycarton!H25</f>
        <v>132.5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plastico</vt:lpstr>
      <vt:lpstr>maderas</vt:lpstr>
      <vt:lpstr>metal</vt:lpstr>
      <vt:lpstr>papelycarton</vt:lpstr>
      <vt:lpstr>vidrio</vt:lpstr>
      <vt:lpstr>textil</vt:lpstr>
      <vt:lpstr>infomensualagosto18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2020-01-13T16:42:43Z</dcterms:modified>
</cp:coreProperties>
</file>