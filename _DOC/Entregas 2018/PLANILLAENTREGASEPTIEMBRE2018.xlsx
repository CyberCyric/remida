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\Desktop\materiales 2020\materiales2018\entregas2018\"/>
    </mc:Choice>
  </mc:AlternateContent>
  <bookViews>
    <workbookView xWindow="240" yWindow="60" windowWidth="20115" windowHeight="8010" activeTab="4"/>
  </bookViews>
  <sheets>
    <sheet name="PLASTICO " sheetId="1" r:id="rId1"/>
    <sheet name="MADERAS" sheetId="2" r:id="rId2"/>
    <sheet name="METAL" sheetId="3" r:id="rId3"/>
    <sheet name="PAPELYCARTON" sheetId="4" r:id="rId4"/>
    <sheet name="VIDRIO" sheetId="5" r:id="rId5"/>
    <sheet name="TEXTIL" sheetId="6" r:id="rId6"/>
    <sheet name="infomensualSEPTIEMBRE8" sheetId="7" r:id="rId7"/>
    <sheet name="Hoja1" sheetId="8" r:id="rId8"/>
  </sheets>
  <calcPr calcId="152511"/>
</workbook>
</file>

<file path=xl/calcChain.xml><?xml version="1.0" encoding="utf-8"?>
<calcChain xmlns="http://schemas.openxmlformats.org/spreadsheetml/2006/main">
  <c r="E25" i="3" l="1"/>
  <c r="G25" i="6" l="1"/>
  <c r="F25" i="6"/>
  <c r="E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25" i="5" s="1"/>
  <c r="H4" i="5"/>
  <c r="G25" i="4"/>
  <c r="F25" i="4"/>
  <c r="E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5" i="4"/>
  <c r="H4" i="4"/>
  <c r="G25" i="3"/>
  <c r="F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5" i="2"/>
  <c r="F25" i="2"/>
  <c r="E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25" i="3" l="1"/>
  <c r="C5" i="7" s="1"/>
  <c r="H25" i="6"/>
  <c r="C8" i="7" s="1"/>
  <c r="H25" i="4"/>
  <c r="C6" i="7" s="1"/>
  <c r="H25" i="2"/>
  <c r="C4" i="7" s="1"/>
  <c r="C7" i="7"/>
  <c r="H25" i="1"/>
  <c r="C3" i="7" s="1"/>
  <c r="F25" i="1"/>
  <c r="G25" i="1"/>
  <c r="E25" i="1"/>
</calcChain>
</file>

<file path=xl/sharedStrings.xml><?xml version="1.0" encoding="utf-8"?>
<sst xmlns="http://schemas.openxmlformats.org/spreadsheetml/2006/main" count="125" uniqueCount="43">
  <si>
    <t>FECHA</t>
  </si>
  <si>
    <t>EMPRESA</t>
  </si>
  <si>
    <t>E. V.</t>
  </si>
  <si>
    <t>DESCRIPCIÓN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</si>
  <si>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</si>
  <si>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</si>
  <si>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</si>
  <si>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</si>
  <si>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</si>
  <si>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</si>
  <si>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</si>
  <si>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</si>
  <si>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</si>
  <si>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</si>
  <si>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</si>
  <si>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</si>
  <si>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</si>
  <si>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x</t>
  </si>
  <si>
    <t>cintas plásticas</t>
  </si>
  <si>
    <t>cables finos</t>
  </si>
  <si>
    <t>?</t>
  </si>
  <si>
    <t>Total</t>
  </si>
  <si>
    <t>piezas 3d</t>
  </si>
  <si>
    <t>eco cuero</t>
  </si>
  <si>
    <t>vacavaliente</t>
  </si>
  <si>
    <t>papel picado tres bolsas</t>
  </si>
  <si>
    <t>arpillera plástica blanca</t>
  </si>
  <si>
    <t>recortes de foam</t>
  </si>
  <si>
    <t>gráfica</t>
  </si>
  <si>
    <t>bolsas polipropileno</t>
  </si>
  <si>
    <t>dgtedu</t>
  </si>
  <si>
    <t>telgopor</t>
  </si>
  <si>
    <t>Articen</t>
  </si>
  <si>
    <t>chapadur recorte</t>
  </si>
  <si>
    <t>t-Plack</t>
  </si>
  <si>
    <t>pacas tetrapack</t>
  </si>
  <si>
    <t>aeptiembre 2018</t>
  </si>
  <si>
    <t>Hule</t>
  </si>
  <si>
    <t>Gisa</t>
  </si>
  <si>
    <t xml:space="preserve">Goma pad </t>
  </si>
  <si>
    <t>Acetato</t>
  </si>
  <si>
    <t>Retaso loneta color</t>
  </si>
  <si>
    <t>Papel picado y cartón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</si>
</sst>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14" sqref="A14"/>
    </sheetView>
  </sheetViews>
  <sheetFormatPr baseColWidth="10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8" customWidth="1"/>
    <col min="8" max="8" width="11.42578125" style="18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1" t="s">
        <v>4</v>
      </c>
      <c r="F1" s="21"/>
      <c r="G1" s="21"/>
      <c r="H1" s="15" t="s">
        <v>4</v>
      </c>
    </row>
    <row r="2" spans="1:8" s="1" customFormat="1" x14ac:dyDescent="0.25">
      <c r="A2" s="12"/>
      <c r="B2" s="12"/>
      <c r="C2" s="12"/>
      <c r="D2" s="12"/>
      <c r="E2" s="16" t="s">
        <v>5</v>
      </c>
      <c r="F2" s="16" t="s">
        <v>6</v>
      </c>
      <c r="G2" s="16" t="s">
        <v>7</v>
      </c>
      <c r="H2" s="17" t="s">
        <v>8</v>
      </c>
    </row>
    <row r="3" spans="1:8" ht="7.5" customHeight="1" x14ac:dyDescent="0.25"/>
    <row r="4" spans="1:8" ht="18.75" customHeight="1" x14ac:dyDescent="0.25">
      <c r="A4" s="19">
        <v>43349</v>
      </c>
      <c r="B4" s="14" t="s">
        <v>20</v>
      </c>
      <c r="C4" s="14" t="s">
        <v>17</v>
      </c>
      <c r="D4" s="14" t="s">
        <v>18</v>
      </c>
      <c r="E4" s="16"/>
      <c r="F4" s="16">
        <v>3</v>
      </c>
      <c r="G4" s="16"/>
      <c r="H4" s="16">
        <f>E4+F4+G4</f>
        <v>3</v>
      </c>
    </row>
    <row r="5" spans="1:8" ht="18.75" customHeight="1" x14ac:dyDescent="0.25">
      <c r="A5" s="19">
        <v>43349</v>
      </c>
      <c r="B5" s="14" t="s">
        <v>20</v>
      </c>
      <c r="C5" s="14" t="s">
        <v>17</v>
      </c>
      <c r="D5" s="14" t="s">
        <v>22</v>
      </c>
      <c r="E5" s="16"/>
      <c r="F5" s="16">
        <v>4</v>
      </c>
      <c r="G5" s="16"/>
      <c r="H5" s="16">
        <f t="shared" ref="H5:H23" si="0">E5+F5+G5</f>
        <v>4</v>
      </c>
    </row>
    <row r="6" spans="1:8" ht="18.75" customHeight="1" x14ac:dyDescent="0.25">
      <c r="A6" s="19">
        <v>43349</v>
      </c>
      <c r="B6" s="14" t="s">
        <v>24</v>
      </c>
      <c r="C6" s="14" t="s">
        <v>17</v>
      </c>
      <c r="D6" s="14" t="s">
        <v>23</v>
      </c>
      <c r="E6" s="16"/>
      <c r="F6" s="16">
        <v>100</v>
      </c>
      <c r="G6" s="16"/>
      <c r="H6" s="16">
        <f t="shared" si="0"/>
        <v>100</v>
      </c>
    </row>
    <row r="7" spans="1:8" ht="18.75" customHeight="1" x14ac:dyDescent="0.25">
      <c r="A7" s="19">
        <v>43349</v>
      </c>
      <c r="B7" s="14"/>
      <c r="C7" s="14" t="s">
        <v>17</v>
      </c>
      <c r="D7" s="14" t="s">
        <v>26</v>
      </c>
      <c r="E7" s="16"/>
      <c r="F7" s="16">
        <v>30</v>
      </c>
      <c r="G7" s="16"/>
      <c r="H7" s="16">
        <f t="shared" si="0"/>
        <v>30</v>
      </c>
    </row>
    <row r="8" spans="1:8" ht="18.75" customHeight="1" x14ac:dyDescent="0.25">
      <c r="A8" s="19">
        <v>43349</v>
      </c>
      <c r="B8" s="14" t="s">
        <v>28</v>
      </c>
      <c r="C8" s="14" t="s">
        <v>17</v>
      </c>
      <c r="D8" s="14" t="s">
        <v>27</v>
      </c>
      <c r="E8" s="16"/>
      <c r="F8" s="16">
        <v>1</v>
      </c>
      <c r="G8" s="16"/>
      <c r="H8" s="16">
        <f t="shared" si="0"/>
        <v>1</v>
      </c>
    </row>
    <row r="9" spans="1:8" ht="18.75" customHeight="1" x14ac:dyDescent="0.25">
      <c r="A9" s="19">
        <v>43349</v>
      </c>
      <c r="B9" s="14" t="s">
        <v>30</v>
      </c>
      <c r="C9" s="14" t="s">
        <v>17</v>
      </c>
      <c r="D9" s="14" t="s">
        <v>29</v>
      </c>
      <c r="E9" s="16"/>
      <c r="F9" s="16">
        <v>2</v>
      </c>
      <c r="G9" s="16"/>
      <c r="H9" s="16">
        <f t="shared" si="0"/>
        <v>2</v>
      </c>
    </row>
    <row r="10" spans="1:8" ht="18.75" customHeight="1" x14ac:dyDescent="0.25">
      <c r="A10" s="19">
        <v>43349</v>
      </c>
      <c r="B10" s="14" t="s">
        <v>20</v>
      </c>
      <c r="C10" s="14" t="s">
        <v>17</v>
      </c>
      <c r="D10" s="14" t="s">
        <v>31</v>
      </c>
      <c r="E10" s="16"/>
      <c r="F10" s="16">
        <v>0.5</v>
      </c>
      <c r="G10" s="16"/>
      <c r="H10" s="16">
        <f t="shared" si="0"/>
        <v>0.5</v>
      </c>
    </row>
    <row r="11" spans="1:8" ht="18.75" customHeight="1" x14ac:dyDescent="0.25">
      <c r="A11" s="19">
        <v>43349</v>
      </c>
      <c r="B11" s="14" t="s">
        <v>20</v>
      </c>
      <c r="C11" s="14" t="s">
        <v>17</v>
      </c>
      <c r="D11" s="14" t="s">
        <v>19</v>
      </c>
      <c r="E11" s="16"/>
      <c r="F11" s="16">
        <v>3</v>
      </c>
      <c r="G11" s="16"/>
      <c r="H11" s="16">
        <f t="shared" si="0"/>
        <v>3</v>
      </c>
    </row>
    <row r="12" spans="1:8" ht="18.75" customHeight="1" x14ac:dyDescent="0.25">
      <c r="A12" s="19">
        <v>43356</v>
      </c>
      <c r="B12" s="14" t="s">
        <v>38</v>
      </c>
      <c r="C12" s="14"/>
      <c r="D12" s="14" t="s">
        <v>37</v>
      </c>
      <c r="E12" s="16"/>
      <c r="F12" s="16">
        <v>360</v>
      </c>
      <c r="G12" s="16"/>
      <c r="H12" s="16">
        <f t="shared" si="0"/>
        <v>360</v>
      </c>
    </row>
    <row r="13" spans="1:8" ht="18.75" customHeight="1" x14ac:dyDescent="0.25">
      <c r="A13" s="19">
        <v>43356</v>
      </c>
      <c r="B13" s="14" t="s">
        <v>38</v>
      </c>
      <c r="C13" s="14"/>
      <c r="D13" s="14" t="s">
        <v>39</v>
      </c>
      <c r="E13" s="16"/>
      <c r="F13" s="16">
        <v>240</v>
      </c>
      <c r="G13" s="16"/>
      <c r="H13" s="16">
        <f t="shared" si="0"/>
        <v>240</v>
      </c>
    </row>
    <row r="14" spans="1:8" ht="18.75" customHeight="1" x14ac:dyDescent="0.25">
      <c r="A14" s="19">
        <v>43356</v>
      </c>
      <c r="B14" s="14" t="s">
        <v>38</v>
      </c>
      <c r="C14" s="14"/>
      <c r="D14" s="14" t="s">
        <v>40</v>
      </c>
      <c r="E14" s="16"/>
      <c r="F14" s="16">
        <v>300</v>
      </c>
      <c r="G14" s="16"/>
      <c r="H14" s="16">
        <f t="shared" si="0"/>
        <v>300</v>
      </c>
    </row>
    <row r="15" spans="1:8" ht="18.75" customHeight="1" x14ac:dyDescent="0.25">
      <c r="A15" s="14"/>
      <c r="B15" s="14"/>
      <c r="C15" s="14"/>
      <c r="D15" s="14"/>
      <c r="E15" s="16"/>
      <c r="F15" s="16"/>
      <c r="G15" s="16"/>
      <c r="H15" s="16">
        <f t="shared" si="0"/>
        <v>0</v>
      </c>
    </row>
    <row r="16" spans="1:8" ht="18.75" customHeight="1" x14ac:dyDescent="0.25">
      <c r="A16" s="14"/>
      <c r="B16" s="14"/>
      <c r="C16" s="14"/>
      <c r="D16" s="14"/>
      <c r="E16" s="16"/>
      <c r="F16" s="16"/>
      <c r="G16" s="16"/>
      <c r="H16" s="16">
        <f t="shared" si="0"/>
        <v>0</v>
      </c>
    </row>
    <row r="17" spans="1:8" ht="18.75" customHeight="1" x14ac:dyDescent="0.25">
      <c r="A17" s="14"/>
      <c r="B17" s="14"/>
      <c r="C17" s="14"/>
      <c r="D17" s="14"/>
      <c r="E17" s="16"/>
      <c r="F17" s="16"/>
      <c r="G17" s="16"/>
      <c r="H17" s="16">
        <f t="shared" si="0"/>
        <v>0</v>
      </c>
    </row>
    <row r="18" spans="1:8" ht="18.75" customHeight="1" x14ac:dyDescent="0.25">
      <c r="A18" s="14"/>
      <c r="B18" s="14"/>
      <c r="C18" s="14"/>
      <c r="D18" s="14"/>
      <c r="E18" s="16"/>
      <c r="F18" s="16"/>
      <c r="G18" s="16"/>
      <c r="H18" s="16">
        <f t="shared" si="0"/>
        <v>0</v>
      </c>
    </row>
    <row r="19" spans="1:8" ht="18.75" customHeight="1" x14ac:dyDescent="0.25">
      <c r="A19" s="14"/>
      <c r="B19" s="14"/>
      <c r="C19" s="14"/>
      <c r="D19" s="14"/>
      <c r="E19" s="16"/>
      <c r="F19" s="16"/>
      <c r="G19" s="16"/>
      <c r="H19" s="16">
        <f t="shared" si="0"/>
        <v>0</v>
      </c>
    </row>
    <row r="20" spans="1:8" ht="18.75" customHeight="1" x14ac:dyDescent="0.25">
      <c r="A20" s="14"/>
      <c r="B20" s="14"/>
      <c r="C20" s="14"/>
      <c r="D20" s="14"/>
      <c r="E20" s="16"/>
      <c r="F20" s="16"/>
      <c r="G20" s="16"/>
      <c r="H20" s="16">
        <f t="shared" si="0"/>
        <v>0</v>
      </c>
    </row>
    <row r="21" spans="1:8" ht="18.75" customHeight="1" x14ac:dyDescent="0.25">
      <c r="A21" s="14"/>
      <c r="B21" s="14"/>
      <c r="C21" s="14"/>
      <c r="D21" s="14"/>
      <c r="E21" s="16"/>
      <c r="F21" s="16"/>
      <c r="G21" s="16"/>
      <c r="H21" s="16">
        <f t="shared" si="0"/>
        <v>0</v>
      </c>
    </row>
    <row r="22" spans="1:8" ht="18.75" customHeight="1" x14ac:dyDescent="0.25">
      <c r="A22" s="14"/>
      <c r="B22" s="14"/>
      <c r="C22" s="14"/>
      <c r="D22" s="14"/>
      <c r="E22" s="16"/>
      <c r="F22" s="16"/>
      <c r="G22" s="16"/>
      <c r="H22" s="16">
        <f t="shared" si="0"/>
        <v>0</v>
      </c>
    </row>
    <row r="23" spans="1:8" ht="18.75" customHeight="1" x14ac:dyDescent="0.25">
      <c r="A23" s="14"/>
      <c r="B23" s="14"/>
      <c r="C23" s="14"/>
      <c r="D23" s="14"/>
      <c r="E23" s="16"/>
      <c r="F23" s="16"/>
      <c r="G23" s="16"/>
      <c r="H23" s="16">
        <f t="shared" si="0"/>
        <v>0</v>
      </c>
    </row>
    <row r="25" spans="1:8" ht="18.75" customHeight="1" x14ac:dyDescent="0.25">
      <c r="D25" s="13" t="s">
        <v>9</v>
      </c>
      <c r="E25" s="16">
        <f>SUM(E4:E24)</f>
        <v>0</v>
      </c>
      <c r="F25" s="16">
        <f t="shared" ref="F25:H25" si="1">SUM(F4:F24)</f>
        <v>1043.5</v>
      </c>
      <c r="G25" s="16">
        <f t="shared" si="1"/>
        <v>0</v>
      </c>
      <c r="H25" s="16">
        <f t="shared" si="1"/>
        <v>1043.5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6" sqref="A6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style="1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11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12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43349</v>
      </c>
      <c r="B4" s="2" t="s">
        <v>32</v>
      </c>
      <c r="C4" s="14" t="s">
        <v>17</v>
      </c>
      <c r="D4" s="14" t="s">
        <v>33</v>
      </c>
      <c r="E4" s="8"/>
      <c r="F4" s="8"/>
      <c r="G4" s="8"/>
      <c r="H4" s="8">
        <v>100</v>
      </c>
    </row>
    <row r="5" spans="1:8" ht="18.75" customHeight="1" x14ac:dyDescent="0.25">
      <c r="A5" s="6">
        <v>43349</v>
      </c>
      <c r="B5" s="2" t="s">
        <v>34</v>
      </c>
      <c r="C5" s="14" t="s">
        <v>17</v>
      </c>
      <c r="D5" s="14" t="s">
        <v>35</v>
      </c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6"/>
      <c r="B6" s="2"/>
      <c r="C6" s="14"/>
      <c r="D6" s="14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14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14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14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14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14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14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14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14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14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14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14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14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14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14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14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14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14"/>
      <c r="E23" s="8"/>
      <c r="F23" s="8"/>
      <c r="G23" s="8"/>
      <c r="H23" s="8">
        <f t="shared" si="0"/>
        <v>0</v>
      </c>
    </row>
    <row r="25" spans="1:8" ht="18.75" customHeight="1" x14ac:dyDescent="0.25">
      <c r="D25" s="13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100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5" sqref="D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 t="shared" ref="H4:H23" si="0"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si="0"/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6" sqref="B6"/>
    </sheetView>
  </sheetViews>
  <sheetFormatPr baseColWidth="10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0" customWidth="1"/>
    <col min="8" max="8" width="11.42578125" style="10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12"/>
      <c r="B2" s="12"/>
      <c r="C2" s="12"/>
      <c r="D2" s="12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19">
        <v>43349</v>
      </c>
      <c r="B4" s="14" t="s">
        <v>24</v>
      </c>
      <c r="C4" s="14" t="s">
        <v>17</v>
      </c>
      <c r="D4" s="14" t="s">
        <v>25</v>
      </c>
      <c r="E4" s="8"/>
      <c r="F4" s="8">
        <v>30</v>
      </c>
      <c r="G4" s="8"/>
      <c r="H4" s="8">
        <f>E4+F4+G4</f>
        <v>30</v>
      </c>
    </row>
    <row r="5" spans="1:8" ht="18.75" customHeight="1" x14ac:dyDescent="0.25">
      <c r="A5" s="19">
        <v>43356</v>
      </c>
      <c r="B5" s="14" t="s">
        <v>38</v>
      </c>
      <c r="C5" s="14"/>
      <c r="D5" s="14" t="s">
        <v>42</v>
      </c>
      <c r="E5" s="8"/>
      <c r="F5" s="8">
        <v>170</v>
      </c>
      <c r="G5" s="8"/>
      <c r="H5" s="8">
        <f t="shared" ref="H5:H23" si="0">E5+F5+G5</f>
        <v>170</v>
      </c>
    </row>
    <row r="6" spans="1:8" ht="18.75" customHeight="1" x14ac:dyDescent="0.25">
      <c r="A6" s="6">
        <v>43349</v>
      </c>
      <c r="B6" s="2" t="s">
        <v>34</v>
      </c>
      <c r="C6" s="14" t="s">
        <v>17</v>
      </c>
      <c r="D6" s="14" t="s">
        <v>35</v>
      </c>
      <c r="E6" s="20"/>
      <c r="F6" s="20"/>
      <c r="G6" s="8"/>
      <c r="H6" s="8">
        <v>70</v>
      </c>
    </row>
    <row r="7" spans="1:8" ht="18.75" customHeight="1" x14ac:dyDescent="0.25">
      <c r="A7" s="14"/>
      <c r="B7" s="14"/>
      <c r="C7" s="14"/>
      <c r="D7" s="14"/>
      <c r="E7" s="8"/>
      <c r="F7" s="8"/>
      <c r="G7" s="8"/>
      <c r="H7" s="8">
        <f t="shared" si="0"/>
        <v>0</v>
      </c>
    </row>
    <row r="8" spans="1:8" ht="18.75" customHeight="1" x14ac:dyDescent="0.25">
      <c r="A8" s="14"/>
      <c r="B8" s="14"/>
      <c r="C8" s="14"/>
      <c r="D8" s="14"/>
      <c r="E8" s="8"/>
      <c r="F8" s="8"/>
      <c r="G8" s="8"/>
      <c r="H8" s="8">
        <f t="shared" si="0"/>
        <v>0</v>
      </c>
    </row>
    <row r="9" spans="1:8" ht="18.75" customHeight="1" x14ac:dyDescent="0.25">
      <c r="A9" s="14"/>
      <c r="B9" s="14"/>
      <c r="C9" s="14"/>
      <c r="D9" s="14"/>
      <c r="E9" s="8"/>
      <c r="F9" s="8"/>
      <c r="G9" s="8"/>
      <c r="H9" s="8">
        <f t="shared" si="0"/>
        <v>0</v>
      </c>
    </row>
    <row r="10" spans="1:8" ht="18.75" customHeight="1" x14ac:dyDescent="0.25">
      <c r="A10" s="14"/>
      <c r="B10" s="14"/>
      <c r="C10" s="14"/>
      <c r="D10" s="14"/>
      <c r="E10" s="8"/>
      <c r="F10" s="8"/>
      <c r="G10" s="8"/>
      <c r="H10" s="8">
        <f t="shared" si="0"/>
        <v>0</v>
      </c>
    </row>
    <row r="11" spans="1:8" ht="18.75" customHeight="1" x14ac:dyDescent="0.25">
      <c r="A11" s="14"/>
      <c r="B11" s="14"/>
      <c r="C11" s="14"/>
      <c r="D11" s="14"/>
      <c r="E11" s="8"/>
      <c r="F11" s="8"/>
      <c r="G11" s="8"/>
      <c r="H11" s="8">
        <f t="shared" si="0"/>
        <v>0</v>
      </c>
    </row>
    <row r="12" spans="1:8" ht="18.75" customHeight="1" x14ac:dyDescent="0.25">
      <c r="A12" s="14"/>
      <c r="B12" s="14"/>
      <c r="C12" s="14"/>
      <c r="D12" s="14"/>
      <c r="E12" s="8"/>
      <c r="F12" s="8"/>
      <c r="G12" s="8"/>
      <c r="H12" s="8">
        <f t="shared" si="0"/>
        <v>0</v>
      </c>
    </row>
    <row r="13" spans="1:8" ht="18.75" customHeight="1" x14ac:dyDescent="0.25">
      <c r="A13" s="14"/>
      <c r="B13" s="14"/>
      <c r="C13" s="14"/>
      <c r="D13" s="14"/>
      <c r="E13" s="8"/>
      <c r="F13" s="8"/>
      <c r="G13" s="8"/>
      <c r="H13" s="8">
        <f t="shared" si="0"/>
        <v>0</v>
      </c>
    </row>
    <row r="14" spans="1:8" ht="18.75" customHeight="1" x14ac:dyDescent="0.25">
      <c r="A14" s="14"/>
      <c r="B14" s="14"/>
      <c r="C14" s="14"/>
      <c r="D14" s="14"/>
      <c r="E14" s="8"/>
      <c r="F14" s="8"/>
      <c r="G14" s="8"/>
      <c r="H14" s="8">
        <f t="shared" si="0"/>
        <v>0</v>
      </c>
    </row>
    <row r="15" spans="1:8" ht="18.75" customHeight="1" x14ac:dyDescent="0.25">
      <c r="A15" s="14"/>
      <c r="B15" s="14"/>
      <c r="C15" s="14"/>
      <c r="D15" s="14"/>
      <c r="E15" s="8"/>
      <c r="F15" s="8"/>
      <c r="G15" s="8"/>
      <c r="H15" s="8">
        <f t="shared" si="0"/>
        <v>0</v>
      </c>
    </row>
    <row r="16" spans="1:8" ht="18.75" customHeight="1" x14ac:dyDescent="0.25">
      <c r="A16" s="14"/>
      <c r="B16" s="14"/>
      <c r="C16" s="14"/>
      <c r="D16" s="14"/>
      <c r="E16" s="8"/>
      <c r="F16" s="8"/>
      <c r="G16" s="8"/>
      <c r="H16" s="8">
        <f t="shared" si="0"/>
        <v>0</v>
      </c>
    </row>
    <row r="17" spans="1:8" ht="18.75" customHeight="1" x14ac:dyDescent="0.25">
      <c r="A17" s="14"/>
      <c r="B17" s="14"/>
      <c r="C17" s="14"/>
      <c r="D17" s="14"/>
      <c r="E17" s="8"/>
      <c r="F17" s="8"/>
      <c r="G17" s="8"/>
      <c r="H17" s="8">
        <f t="shared" si="0"/>
        <v>0</v>
      </c>
    </row>
    <row r="18" spans="1:8" ht="18.75" customHeight="1" x14ac:dyDescent="0.25">
      <c r="A18" s="14"/>
      <c r="B18" s="14"/>
      <c r="C18" s="14"/>
      <c r="D18" s="14"/>
      <c r="E18" s="8"/>
      <c r="F18" s="8"/>
      <c r="G18" s="8"/>
      <c r="H18" s="8">
        <f t="shared" si="0"/>
        <v>0</v>
      </c>
    </row>
    <row r="19" spans="1:8" ht="18.75" customHeight="1" x14ac:dyDescent="0.25">
      <c r="A19" s="14"/>
      <c r="B19" s="14"/>
      <c r="C19" s="14"/>
      <c r="D19" s="14"/>
      <c r="E19" s="8"/>
      <c r="F19" s="8"/>
      <c r="G19" s="8"/>
      <c r="H19" s="8">
        <f t="shared" si="0"/>
        <v>0</v>
      </c>
    </row>
    <row r="20" spans="1:8" ht="18.75" customHeight="1" x14ac:dyDescent="0.25">
      <c r="A20" s="14"/>
      <c r="B20" s="14"/>
      <c r="C20" s="14"/>
      <c r="D20" s="14"/>
      <c r="E20" s="8"/>
      <c r="F20" s="8"/>
      <c r="G20" s="8"/>
      <c r="H20" s="8">
        <f t="shared" si="0"/>
        <v>0</v>
      </c>
    </row>
    <row r="21" spans="1:8" ht="18.75" customHeight="1" x14ac:dyDescent="0.25">
      <c r="A21" s="14"/>
      <c r="B21" s="14"/>
      <c r="C21" s="14"/>
      <c r="D21" s="14"/>
      <c r="E21" s="8"/>
      <c r="F21" s="8"/>
      <c r="G21" s="8"/>
      <c r="H21" s="8">
        <f t="shared" si="0"/>
        <v>0</v>
      </c>
    </row>
    <row r="22" spans="1:8" ht="18.75" customHeight="1" x14ac:dyDescent="0.25">
      <c r="A22" s="14"/>
      <c r="B22" s="14"/>
      <c r="C22" s="14"/>
      <c r="D22" s="14"/>
      <c r="E22" s="8"/>
      <c r="F22" s="8"/>
      <c r="G22" s="8"/>
      <c r="H22" s="8">
        <f t="shared" si="0"/>
        <v>0</v>
      </c>
    </row>
    <row r="23" spans="1:8" ht="18.75" customHeight="1" x14ac:dyDescent="0.25">
      <c r="A23" s="14"/>
      <c r="B23" s="14"/>
      <c r="C23" s="14"/>
      <c r="D23" s="14"/>
      <c r="E23" s="8"/>
      <c r="F23" s="8"/>
      <c r="G23" s="8"/>
      <c r="H23" s="8">
        <f t="shared" si="0"/>
        <v>0</v>
      </c>
    </row>
    <row r="25" spans="1:8" ht="18.75" customHeight="1" x14ac:dyDescent="0.25">
      <c r="D25" s="13" t="s">
        <v>9</v>
      </c>
      <c r="E25" s="8">
        <f>SUM(E4:E24)</f>
        <v>0</v>
      </c>
      <c r="F25" s="8">
        <f t="shared" ref="F25:H25" si="1">SUM(F4:F24)</f>
        <v>200</v>
      </c>
      <c r="G25" s="8">
        <f t="shared" si="1"/>
        <v>0</v>
      </c>
      <c r="H25" s="8">
        <f t="shared" si="1"/>
        <v>270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4" sqref="A4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E5" sqref="E5"/>
    </sheetView>
  </sheetViews>
  <sheetFormatPr baseColWidth="10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2" t="s">
        <v>4</v>
      </c>
      <c r="F1" s="22"/>
      <c r="G1" s="22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>
        <v>43356</v>
      </c>
      <c r="B4" s="2" t="s">
        <v>38</v>
      </c>
      <c r="C4" s="14"/>
      <c r="D4" s="2" t="s">
        <v>41</v>
      </c>
      <c r="E4" s="8"/>
      <c r="F4" s="8">
        <v>150</v>
      </c>
      <c r="G4" s="8"/>
      <c r="H4" s="8">
        <f>E4+F4+G4</f>
        <v>150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150</v>
      </c>
      <c r="G25" s="8">
        <f t="shared" si="1"/>
        <v>0</v>
      </c>
      <c r="H25" s="8">
        <f t="shared" si="1"/>
        <v>150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22" sqref="F22"/>
    </sheetView>
  </sheetViews>
  <sheetFormatPr baseColWidth="10" defaultRowHeight="15" x14ac:dyDescent="0.25"/>
  <cols>
    <col min="1" max="1" width="24.85546875" style="1" customWidth="1"/>
    <col min="2" max="2" width="15.140625" style="13" bestFit="1" customWidth="1"/>
    <col min="3" max="3" width="11.42578125" style="18"/>
  </cols>
  <sheetData>
    <row r="1" spans="1:3" x14ac:dyDescent="0.25">
      <c r="A1" s="1" t="s">
        <v>36</v>
      </c>
      <c r="C1" s="18" t="s">
        <v>21</v>
      </c>
    </row>
    <row r="3" spans="1:3" x14ac:dyDescent="0.25">
      <c r="A3" s="1" t="s">
        <v>10</v>
      </c>
      <c r="B3" s="13" t="s">
        <v>11</v>
      </c>
      <c r="C3" s="18">
        <f>'PLASTICO '!H25</f>
        <v>1043.5</v>
      </c>
    </row>
    <row r="4" spans="1:3" x14ac:dyDescent="0.25">
      <c r="A4" s="1" t="s">
        <v>10</v>
      </c>
      <c r="B4" s="13" t="s">
        <v>12</v>
      </c>
      <c r="C4" s="18">
        <f>MADERAS!H25</f>
        <v>100</v>
      </c>
    </row>
    <row r="5" spans="1:3" x14ac:dyDescent="0.25">
      <c r="A5" s="1" t="s">
        <v>10</v>
      </c>
      <c r="B5" s="13" t="s">
        <v>13</v>
      </c>
      <c r="C5" s="18">
        <f>METAL!H25</f>
        <v>0</v>
      </c>
    </row>
    <row r="6" spans="1:3" x14ac:dyDescent="0.25">
      <c r="A6" s="1" t="s">
        <v>10</v>
      </c>
      <c r="B6" s="13" t="s">
        <v>14</v>
      </c>
      <c r="C6" s="18">
        <f>PAPELYCARTON!H25</f>
        <v>270</v>
      </c>
    </row>
    <row r="7" spans="1:3" x14ac:dyDescent="0.25">
      <c r="A7" s="1" t="s">
        <v>10</v>
      </c>
      <c r="B7" s="13" t="s">
        <v>15</v>
      </c>
      <c r="C7" s="18">
        <f>VIDRIO!H25</f>
        <v>0</v>
      </c>
    </row>
    <row r="8" spans="1:3" x14ac:dyDescent="0.25">
      <c r="A8" s="1" t="s">
        <v>10</v>
      </c>
      <c r="B8" s="13" t="s">
        <v>16</v>
      </c>
      <c r="C8" s="18">
        <f>TEXTIL!H25</f>
        <v>150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PLASTICO </vt:lpstr>
      <vt:lpstr>MADERAS</vt:lpstr>
      <vt:lpstr>METAL</vt:lpstr>
      <vt:lpstr>PAPELYCARTON</vt:lpstr>
      <vt:lpstr>VIDRIO</vt:lpstr>
      <vt:lpstr>TEXTIL</vt:lpstr>
      <vt:lpstr>infomensualSEPTIEMBRE8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cp:lastPrinted>2018-11-20T16:47:53Z</cp:lastPrinted>
  <dcterms:created xsi:type="dcterms:W3CDTF">2018-11-20T16:36:04Z</dcterms:created>
  <dcterms:modified xsi:type="dcterms:W3CDTF">2020-01-13T16:48:52Z</dcterms:modified>
</cp:coreProperties>
</file>